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b87956307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9aaab76fe814f5a"/>
    <x:sheet xmlns:r="http://schemas.openxmlformats.org/officeDocument/2006/relationships" name="能量估算" sheetId="2" r:id="R48011118cccd41cc"/>
    <x:sheet xmlns:r="http://schemas.openxmlformats.org/officeDocument/2006/relationships" name="健康日报" sheetId="3" r:id="R85b5ee451ec6429f"/>
    <x:sheet xmlns:r="http://schemas.openxmlformats.org/officeDocument/2006/relationships" name="健康测量" sheetId="4" r:id="R96c1ae2779f542e1"/>
    <x:sheet xmlns:r="http://schemas.openxmlformats.org/officeDocument/2006/relationships" name="训练记录" sheetId="5" r:id="R596051dfea2c4150"/>
    <x:sheet xmlns:r="http://schemas.openxmlformats.org/officeDocument/2006/relationships" name="饮食记录" sheetId="6" r:id="R6bc2ee6bf00f4705"/>
    <x:sheet xmlns:r="http://schemas.openxmlformats.org/officeDocument/2006/relationships" name="饮食营养明细" sheetId="7" r:id="R6cf114a9098f4387"/>
    <x:sheet xmlns:r="http://schemas.openxmlformats.org/officeDocument/2006/relationships" name="每日营养汇总" sheetId="8" r:id="R40d80886626d489f"/>
    <x:sheet xmlns:r="http://schemas.openxmlformats.org/officeDocument/2006/relationships" name="目标历史" sheetId="9" r:id="R417d8c60a4544731"/>
    <x:sheet xmlns:r="http://schemas.openxmlformats.org/officeDocument/2006/relationships" name="同步日志" sheetId="10" r:id="Rb5dbbe7875bf4e93"/>
    <x:sheet xmlns:r="http://schemas.openxmlformats.org/officeDocument/2006/relationships" name="健康说明" sheetId="11" r:id="Rd8cc3edf140e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%"/>
  </x:numFmts>
  <x:fonts count="8">
    <x:font>
      <x:sz val="11"/>
      <x:name val="Carlito"/>
    </x:font>
    <x:font>
      <x:b/>
      <x:sz val="22"/>
      <x:color rgb="FFFFFFFF"/>
      <x:name val="Carlito"/>
    </x:font>
    <x:font>
      <x:sz val="11"/>
      <x:color rgb="FF183B56"/>
      <x:name val="Carlito"/>
    </x:font>
    <x:font>
      <x:b/>
      <x:sz val="11"/>
      <x:color rgb="FFFFFFFF"/>
      <x:name val="Carlito"/>
    </x:font>
    <x:font>
      <x:sz val="10"/>
      <x:color rgb="FF667085"/>
      <x:name val="Carlito"/>
    </x:font>
    <x:font>
      <x:b/>
      <x:sz val="11"/>
      <x:color rgb="FF183B56"/>
      <x:name val="Carlito"/>
    </x:font>
    <x:font>
      <x:b/>
      <x:sz val="11"/>
      <x:color rgb="FF375623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201" fontId="6" fillId="7" borderId="1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917c085f24615" /><Relationship Type="http://schemas.openxmlformats.org/officeDocument/2006/relationships/theme" Target="/xl/theme/theme1.xml" Id="R13861c8b51ae4bf2" /><Relationship Type="http://schemas.openxmlformats.org/officeDocument/2006/relationships/sharedStrings" Target="/xl/sharedStrings.xml" Id="R12568680470548b8" /><Relationship Type="http://schemas.openxmlformats.org/officeDocument/2006/relationships/worksheet" Target="/xl/worksheets/sheet1.xml" Id="R89aaab76fe814f5a" /><Relationship Type="http://schemas.openxmlformats.org/officeDocument/2006/relationships/worksheet" Target="/xl/worksheets/sheet2.xml" Id="R48011118cccd41cc" /><Relationship Type="http://schemas.openxmlformats.org/officeDocument/2006/relationships/worksheet" Target="/xl/worksheets/sheet3.xml" Id="R85b5ee451ec6429f" /><Relationship Type="http://schemas.openxmlformats.org/officeDocument/2006/relationships/worksheet" Target="/xl/worksheets/sheet4.xml" Id="R96c1ae2779f542e1" /><Relationship Type="http://schemas.openxmlformats.org/officeDocument/2006/relationships/worksheet" Target="/xl/worksheets/sheet5.xml" Id="R596051dfea2c4150" /><Relationship Type="http://schemas.openxmlformats.org/officeDocument/2006/relationships/worksheet" Target="/xl/worksheets/sheet6.xml" Id="R6bc2ee6bf00f4705" /><Relationship Type="http://schemas.openxmlformats.org/officeDocument/2006/relationships/worksheet" Target="/xl/worksheets/sheet7.xml" Id="R6cf114a9098f4387" /><Relationship Type="http://schemas.openxmlformats.org/officeDocument/2006/relationships/worksheet" Target="/xl/worksheets/sheet8.xml" Id="R40d80886626d489f" /><Relationship Type="http://schemas.openxmlformats.org/officeDocument/2006/relationships/worksheet" Target="/xl/worksheets/sheet9.xml" Id="R417d8c60a4544731" /><Relationship Type="http://schemas.openxmlformats.org/officeDocument/2006/relationships/worksheet" Target="/xl/worksheets/sheet10.xml" Id="Rb5dbbe7875bf4e93" /><Relationship Type="http://schemas.openxmlformats.org/officeDocument/2006/relationships/worksheet" Target="/xl/worksheets/sheet11.xml" Id="Rd8cc3edf140e47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Open Health Agent · 私有健康档案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本工作簿是本地 SQLite 真源的可读视图。空白表示没有可验证数据，不代表 0。模板本身不含任何个人数据。</x:v>
      </x:c>
      <x:c r="B3" s="8"/>
      <x:c r="C3" s="8"/>
      <x:c r="D3" s="8"/>
      <x:c r="E3" s="8"/>
      <x:c r="F3" s="8"/>
      <x:c r="G3" s="8"/>
      <x:c r="H3" s="8"/>
    </x:row>
    <x:row r="5">
      <x:c r="A5" s="11" t="str">
        <x:v>开始使用</x:v>
      </x:c>
      <x:c r="B5" s="11" t="str">
        <x:v>说明</x:v>
      </x:c>
      <x:c r="D5" s="11" t="str">
        <x:v>官方参考</x:v>
      </x:c>
      <x:c r="E5" s="11"/>
      <x:c r="F5" s="11"/>
      <x:c r="G5" s="11"/>
      <x:c r="H5" s="11"/>
    </x:row>
    <x:row r="6" ht="46" customHeight="1">
      <x:c r="A6" s="16" t="str">
        <x:v>1 · 先了解</x:v>
      </x:c>
      <x:c r="B6" s="16" t="str">
        <x:v>Agent 在本次会话第一次使用 Skill 时，先说明数据范围、第三方处理者、隐私和非医疗边界。</x:v>
      </x:c>
      <x:c r="D6" s="21" t="str">
        <x:v>Google Health API: https://developers.google.com/health</x:v>
      </x:c>
      <x:c r="E6" s="21"/>
      <x:c r="F6" s="21"/>
      <x:c r="G6" s="21"/>
      <x:c r="H6" s="21"/>
    </x:row>
    <x:row r="7" ht="46" customHeight="1">
      <x:c r="A7" s="16" t="str">
        <x:v>2 · 可选接入</x:v>
      </x:c>
      <x:c r="B7" s="16" t="str">
        <x:v>可穿戴设备先同步到 Google Health 支持的数据链路，再由 ghealth 读取；支持某设备不等于每项指标都可用。</x:v>
      </x:c>
      <x:c r="D7" s="21" t="str">
        <x:v>Google Health 设置: https://developers.google.com/health/setup</x:v>
      </x:c>
      <x:c r="E7" s="21"/>
      <x:c r="F7" s="21"/>
      <x:c r="G7" s="21"/>
      <x:c r="H7" s="21"/>
    </x:row>
    <x:row r="8" ht="46" customHeight="1">
      <x:c r="A8" s="16" t="str">
        <x:v>3 · 自动归档</x:v>
      </x:c>
      <x:c r="B8" s="16" t="str">
        <x:v>计划任务每小时重查最近一段时间，SQLite 按稳定 ID 幂等更新，再原子导出本文件。</x:v>
      </x:c>
      <x:c r="D8" s="21" t="str">
        <x:v>Google Health 数据政策: https://developers.google.com/health/policies/health-api-developer-user-data-policy</x:v>
      </x:c>
      <x:c r="E8" s="21"/>
      <x:c r="F8" s="21"/>
      <x:c r="G8" s="21"/>
      <x:c r="H8" s="21"/>
    </x:row>
    <x:row r="9" ht="46" customHeight="1">
      <x:c r="A9" s="16" t="str">
        <x:v>4 · 手工补充</x:v>
      </x:c>
      <x:c r="B9" s="16" t="str">
        <x:v>血压、体重、训练和实际吃下的食物可由文字/语音录入；照片营养需要当前模型具备视觉能力。</x:v>
      </x:c>
      <x:c r="D9" s="21" t="str">
        <x:v>WHO 身体活动建议: https://www.who.int/news-room/fact-sheets/detail/physical-activity</x:v>
      </x:c>
      <x:c r="E9" s="21"/>
      <x:c r="F9" s="21"/>
      <x:c r="G9" s="21"/>
      <x:c r="H9" s="21"/>
    </x:row>
    <x:row r="10" ht="46" customHeight="1">
      <x:c r="A10" s="16" t="str">
        <x:v>5 · 目标优先</x:v>
      </x:c>
      <x:c r="B10" s="16" t="str">
        <x:v>用户目标以原话写入设备上的私有 AGENTS.md。安全风险高于目标；没有目标时采用 WHO 一般健康基线。</x:v>
      </x:c>
      <x:c r="D10" s="21" t="str">
        <x:v>AHA 血压危象说明: https://www.heart.org/en/health-topics/high-blood-pressure/understanding-blood-pressure-readings/hypertensive-crisis-when-you-should-call-911</x:v>
      </x:c>
      <x:c r="E10" s="21"/>
      <x:c r="F10" s="21"/>
      <x:c r="G10" s="21"/>
      <x:c r="H10" s="21"/>
    </x:row>
    <x:row r="11" ht="46" customHeight="1">
      <x:c r="A11" s="16" t="str">
        <x:v>6 · 建议前读档</x:v>
      </x:c>
      <x:c r="B11" s="16" t="str">
        <x:v>任何营养、运动、恢复或生活方式建议前，Agent 必须读取当日、趋势、同步新鲜度和数据缺口。</x:v>
      </x:c>
      <x:c r="D11" s="21" t="str">
        <x:v>Cunningham 1991 FFM/REE 研究: https://pubmed.ncbi.nlm.nih.gov/1957828/</x:v>
      </x:c>
      <x:c r="E11" s="21"/>
      <x:c r="F11" s="21"/>
      <x:c r="G11" s="21"/>
      <x:c r="H11" s="21"/>
    </x:row>
    <x:row r="12" ht="46" customHeight="1">
      <x:c r="A12" s="16" t="str">
        <x:v>7 · 自定义内容</x:v>
      </x:c>
      <x:c r="B12" s="16" t="str">
        <x:v>你可以新增自己的工作表记录额外指标。自动导出只重建九个标准健康工作表，并保留其他工作表。</x:v>
      </x:c>
      <x:c r="D12" s="21" t="str">
        <x:v>项目仓库: https://github.com/w2478328197-arch/open-health-agent</x:v>
      </x:c>
      <x:c r="E12" s="21"/>
      <x:c r="F12" s="21"/>
      <x:c r="G12" s="21"/>
      <x:c r="H12" s="21"/>
    </x:row>
    <x:row r="13">
      <x:c r="A13" s="16"/>
      <x:c r="B13" s="16"/>
    </x:row>
    <x:row r="14" ht="36" customHeight="1">
      <x:c r="A14" s="17" t="str">
        <x:v>关键口径</x:v>
      </x:c>
      <x:c r="B14" s="17" t="str">
        <x:v>说明</x:v>
      </x:c>
    </x:row>
    <x:row r="15" ht="36" customHeight="1">
      <x:c r="A15" s="16" t="str">
        <x:v>食物记录</x:v>
      </x:c>
      <x:c r="B15" s="16" t="str">
        <x:v>购物、计划和准备吃不算摄入；只有明确实际吃下/喝下才记录。照片份量必须给区间与置信度。</x:v>
      </x:c>
    </x:row>
    <x:row r="16" ht="36" customHeight="1">
      <x:c r="A16" s="16" t="str">
        <x:v>睡眠</x:v>
      </x:c>
      <x:c r="B16" s="16" t="str">
        <x:v>按醒来/结束日期归档；实际睡眠时长为 asleep、不含清醒分钟；重叠来源不相加，按来源优先级选择一条。</x:v>
      </x:c>
    </x:row>
    <x:row r="17" ht="36" customHeight="1">
      <x:c r="A17" s="16" t="str">
        <x:v>当天数据</x:v>
      </x:c>
      <x:c r="B17" s="16" t="str">
        <x:v>当天在结束前都只是“截至目前”，不得与完整历史日直接作结论式比较。</x:v>
      </x:c>
    </x:row>
    <x:row r="18" ht="36" customHeight="1">
      <x:c r="A18" s="16" t="str">
        <x:v>能量</x:v>
      </x:c>
      <x:c r="B18" s="16" t="str">
        <x:v>瘦体重公式是估算 REE/BMR 近似。只有字段确认为 active energy 时才叠加 REE 与 TEF；total energy 不重复相加。</x:v>
      </x:c>
    </x:row>
    <x:row r="19" ht="36" customHeight="1">
      <x:c r="A19" s="16" t="str">
        <x:v>安全</x:v>
      </x:c>
      <x:c r="B19" s="16" t="str">
        <x:v>本项目不是医疗器械、诊断、处方或急救监测。急症信号应联系当地急救服务。</x:v>
      </x:c>
    </x:row>
    <x:row r="20" ht="36" customHeight="1">
      <x:c r="A20" s="16" t="str">
        <x:v>隐私</x:v>
      </x:c>
      <x:c r="B20" s="16" t="str">
        <x:v>健康数据可能经过设备厂商、Apple/Google 健康数据层、Google API、微信/腾讯、模型/STT/视觉服务和 iCloud；凭据和真实档案不得提交到 Git。</x:v>
      </x:c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60" hidden="0" customWidth="1"/>
  </x:cols>
  <x:sheetData>
    <x:row r="1" ht="28" customHeight="1">
      <x:c r="A1" s="4" t="str">
        <x:v>能量估算 · 可审计计算区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黄色为用户确认或历史完整日输入；绿色为公式结果。不要把穿戴设备热量当作精确真值，也不要重复计算 total energy。</x:v>
      </x:c>
      <x:c r="B3" s="8"/>
      <x:c r="C3" s="8"/>
      <x:c r="D3" s="8"/>
      <x:c r="E3" s="8"/>
      <x:c r="F3" s="8"/>
      <x:c r="G3" s="8"/>
      <x:c r="H3" s="8"/>
    </x:row>
    <x:row r="5">
      <x:c r="A5" s="22" t="str">
        <x:v>输入</x:v>
      </x:c>
      <x:c r="B5" s="22" t="str">
        <x:v>数值</x:v>
      </x:c>
      <x:c r="C5" s="22" t="str">
        <x:v>口径/单位</x:v>
      </x:c>
    </x:row>
    <x:row r="6" ht="28" customHeight="1">
      <x:c r="A6" s="14" t="str">
        <x:v>瘦体重</x:v>
      </x:c>
      <x:c r="B6" s="25"/>
      <x:c r="C6" s="14" t="str">
        <x:v>kg；必须由用户确认</x:v>
      </x:c>
    </x:row>
    <x:row r="7" ht="28" customHeight="1">
      <x:c r="A7" s="14" t="str">
        <x:v>完整日平均活跃消耗</x:v>
      </x:c>
      <x:c r="B7" s="25"/>
      <x:c r="C7" s="14" t="str">
        <x:v>kcal/day；仅 active energy</x:v>
      </x:c>
    </x:row>
    <x:row r="8" ht="28" customHeight="1">
      <x:c r="A8" s="14" t="str">
        <x:v>规划 TEF 比例</x:v>
      </x:c>
      <x:c r="B8" s="29" t="n">
        <x:v>0.1</x:v>
      </x:c>
      <x:c r="C8" s="14" t="str">
        <x:v>默认 10%，宏量未知时的规划假设</x:v>
      </x:c>
    </x:row>
    <x:row r="9" ht="28" customHeight="1">
      <x:c r="A9" s="14" t="str">
        <x:v>目标热量调整</x:v>
      </x:c>
      <x:c r="B9" s="25" t="n">
        <x:v>0</x:v>
      </x:c>
      <x:c r="C9" s="14" t="str">
        <x:v>kcal/day；减脂为负，增重为正</x:v>
      </x:c>
    </x:row>
    <x:row r="10" ht="28" customHeight="1">
      <x:c r="A10" s="14" t="str">
        <x:v>已记录蛋白质</x:v>
      </x:c>
      <x:c r="B10" s="25"/>
      <x:c r="C10" s="14" t="str">
        <x:v>g/day</x:v>
      </x:c>
    </x:row>
    <x:row r="11" ht="28" customHeight="1">
      <x:c r="A11" s="14" t="str">
        <x:v>已记录碳水</x:v>
      </x:c>
      <x:c r="B11" s="25"/>
      <x:c r="C11" s="14" t="str">
        <x:v>g/day</x:v>
      </x:c>
    </x:row>
    <x:row r="12" ht="28" customHeight="1">
      <x:c r="A12" s="14" t="str">
        <x:v>已记录脂肪</x:v>
      </x:c>
      <x:c r="B12" s="25"/>
      <x:c r="C12" s="14" t="str">
        <x:v>g/day</x:v>
      </x:c>
    </x:row>
    <x:row r="13" ht="28" customHeight="1"/>
    <x:row r="14" ht="28" customHeight="1">
      <x:c r="A14" s="22" t="str">
        <x:v>输出</x:v>
      </x:c>
      <x:c r="B14" s="22" t="str">
        <x:v>估算结果</x:v>
      </x:c>
      <x:c r="C14" s="22" t="str">
        <x:v>解释</x:v>
      </x:c>
    </x:row>
    <x:row r="15" ht="28" customHeight="1">
      <x:c r="A15" s="14" t="str">
        <x:v>静息能量 REE</x:v>
      </x:c>
      <x:c r="B15" s="28" t="str">
        <x:f>IF(B6="","",370+21.6*B6)</x:f>
      </x:c>
      <x:c r="C15" s="14" t="str">
        <x:v>370 + 21.6 × 瘦体重；估算值</x:v>
      </x:c>
    </x:row>
    <x:row r="16" ht="28" customHeight="1">
      <x:c r="A16" s="14" t="str">
        <x:v>维持摄入规划</x:v>
      </x:c>
      <x:c r="B16" s="28" t="str">
        <x:f>IF(OR(B15="",B7=""),"",(B15+B7)/(1-B8))</x:f>
      </x:c>
      <x:c r="C16" s="14" t="str">
        <x:v>(REE + active energy) / (1 - TEF比例)</x:v>
      </x:c>
    </x:row>
    <x:row r="17" ht="28" customHeight="1">
      <x:c r="A17" s="14" t="str">
        <x:v>目标摄入规划</x:v>
      </x:c>
      <x:c r="B17" s="28" t="str">
        <x:f>IF(OR(B15="",B7=""),"",(B15+B7+B9)/(1-B8))</x:f>
      </x:c>
      <x:c r="C17" s="14" t="str">
        <x:v>(REE + active energy + 目标调整) / (1 - TEF比例)</x:v>
      </x:c>
    </x:row>
    <x:row r="18" ht="28" customHeight="1">
      <x:c r="A18" s="14" t="str">
        <x:v>已记录食物 TEF 下限</x:v>
      </x:c>
      <x:c r="B18" s="28" t="str">
        <x:f>IF(COUNT(B10:B12)&lt;3,"",B10*4*20%+B11*4*5%+B12*9*0%)</x:f>
      </x:c>
      <x:c r="C18" s="14" t="str">
        <x:v>蛋白 20% + 碳水 5% + 脂肪 0%</x:v>
      </x:c>
    </x:row>
    <x:row r="19" ht="28" customHeight="1">
      <x:c r="A19" s="14" t="str">
        <x:v>已记录食物 TEF 中值</x:v>
      </x:c>
      <x:c r="B19" s="28" t="str">
        <x:f>IF(COUNT(B10:B12)&lt;3,"",B10*4*25%+B11*4*7.5%+B12*9*1.5%)</x:f>
      </x:c>
      <x:c r="C19" s="14" t="str">
        <x:v>蛋白 25% + 碳水 7.5% + 脂肪 1.5%</x:v>
      </x:c>
    </x:row>
    <x:row r="20" ht="28" customHeight="1">
      <x:c r="A20" s="14" t="str">
        <x:v>已记录食物 TEF 上限</x:v>
      </x:c>
      <x:c r="B20" s="28" t="str">
        <x:f>IF(COUNT(B10:B12)&lt;3,"",B10*4*30%+B11*4*10%+B12*9*3%)</x:f>
      </x:c>
      <x:c r="C20" s="14" t="str">
        <x:v>蛋白 30% + 碳水 10% + 脂肪 3%</x:v>
      </x:c>
    </x:row>
    <x:row r="21" ht="28" customHeight="1">
      <x:c r="A21" s="14" t="str">
        <x:v>回顾总消耗（示例）</x:v>
      </x:c>
      <x:c r="B21" s="28" t="str">
        <x:f>IF(OR(B15="",B7="",B19=""),"",B15+B7+B19)</x:f>
      </x:c>
      <x:c r="C21" s="14" t="str">
        <x:v>REE + active energy + 已记录 TEF 中值</x:v>
      </x:c>
    </x:row>
  </x:sheetData>
  <x:mergeCells>
    <x:mergeCell ref="A1:H2"/>
    <x:mergeCell ref="A3:H3"/>
  </x:mergeCells>
  <x:dataValidations count="2">
    <x:dataValidation type="decimal" operator="between" sqref="B6">
      <x:formula1>20</x:formula1>
      <x:formula2>200</x:formula2>
    </x:dataValidation>
    <x:dataValidation type="decimal" operator="between" sqref="B8">
      <x:formula1>0</x:formula1>
      <x:formula2>0.49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24" hidden="0" customWidth="1"/>
    <x:col min="26" max="26" width="15" hidden="0" customWidth="1"/>
    <x:col min="27" max="27" width="38" hidden="0" customWidth="1"/>
  </x:cols>
  <x:sheetData>
    <x:row r="1" ht="36" customHeight="1">
      <x:c r="A1" s="33" t="str">
        <x:v>日期</x:v>
      </x:c>
      <x:c r="B1" s="33" t="str">
        <x:v>步数</x:v>
      </x:c>
      <x:c r="C1" s="33" t="str">
        <x:v>距离_km</x:v>
      </x:c>
      <x:c r="D1" s="33" t="str">
        <x:v>活跃消耗_kcal</x:v>
      </x:c>
      <x:c r="E1" s="33" t="str">
        <x:v>活跃分钟</x:v>
      </x:c>
      <x:c r="F1" s="33" t="str">
        <x:v>睡眠开始</x:v>
      </x:c>
      <x:c r="G1" s="33" t="str">
        <x:v>睡眠结束</x:v>
      </x:c>
      <x:c r="H1" s="33" t="str">
        <x:v>实际睡眠时长_h</x:v>
      </x:c>
      <x:c r="I1" s="33" t="str">
        <x:v>深睡_min</x:v>
      </x:c>
      <x:c r="J1" s="33" t="str">
        <x:v>核心/浅睡_min</x:v>
      </x:c>
      <x:c r="K1" s="33" t="str">
        <x:v>REM_min</x:v>
      </x:c>
      <x:c r="L1" s="33" t="str">
        <x:v>清醒_min</x:v>
      </x:c>
      <x:c r="M1" s="33" t="str">
        <x:v>静息心率_bpm</x:v>
      </x:c>
      <x:c r="N1" s="33" t="str">
        <x:v>HRV_ms</x:v>
      </x:c>
      <x:c r="O1" s="33" t="str">
        <x:v>血氧_%</x:v>
      </x:c>
      <x:c r="P1" s="33" t="str">
        <x:v>呼吸率_次/分</x:v>
      </x:c>
      <x:c r="Q1" s="33" t="str">
        <x:v>VO2max</x:v>
      </x:c>
      <x:c r="R1" s="33" t="str">
        <x:v>体重_kg</x:v>
      </x:c>
      <x:c r="S1" s="33" t="str">
        <x:v>体脂率_%</x:v>
      </x:c>
      <x:c r="T1" s="33" t="str">
        <x:v>身高_cm</x:v>
      </x:c>
      <x:c r="U1" s="33" t="str">
        <x:v>睡眠来源</x:v>
      </x:c>
      <x:c r="V1" s="33" t="str">
        <x:v>健康数据来源</x:v>
      </x:c>
      <x:c r="W1" s="33" t="str">
        <x:v>数据截止时间</x:v>
      </x:c>
      <x:c r="X1" s="33" t="str">
        <x:v>数据质量</x:v>
      </x:c>
      <x:c r="Y1" s="33" t="str">
        <x:v>导入批次ID</x:v>
      </x:c>
      <x:c r="Z1" s="33" t="str">
        <x:v>导入时间</x:v>
      </x:c>
      <x:c r="AA1" s="33" t="str">
        <x:v>备注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8" hidden="0" customWidth="1"/>
    <x:col min="12" max="12" width="38" hidden="0" customWidth="1"/>
    <x:col min="13" max="13" width="15" hidden="0" customWidth="1"/>
  </x:cols>
  <x:sheetData>
    <x:row r="1" ht="36" customHeight="1">
      <x:c r="A1" s="33" t="str">
        <x:v>记录ID</x:v>
      </x:c>
      <x:c r="B1" s="33" t="str">
        <x:v>日期</x:v>
      </x:c>
      <x:c r="C1" s="33" t="str">
        <x:v>时间</x:v>
      </x:c>
      <x:c r="D1" s="33" t="str">
        <x:v>指标</x:v>
      </x:c>
      <x:c r="E1" s="33" t="str">
        <x:v>数值</x:v>
      </x:c>
      <x:c r="F1" s="33" t="str">
        <x:v>第二数值</x:v>
      </x:c>
      <x:c r="G1" s="33" t="str">
        <x:v>单位</x:v>
      </x:c>
      <x:c r="H1" s="33" t="str">
        <x:v>来源</x:v>
      </x:c>
      <x:c r="I1" s="33" t="str">
        <x:v>记录方式</x:v>
      </x:c>
      <x:c r="J1" s="33" t="str">
        <x:v>置信度</x:v>
      </x:c>
      <x:c r="K1" s="33" t="str">
        <x:v>原话</x:v>
      </x:c>
      <x:c r="L1" s="33" t="str">
        <x:v>备注</x:v>
      </x:c>
      <x:c r="M1" s="33" t="str">
        <x:v>导入时间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38" hidden="0" customWidth="1"/>
    <x:col min="17" max="17" width="38" hidden="0" customWidth="1"/>
    <x:col min="18" max="18" width="15" hidden="0" customWidth="1"/>
  </x:cols>
  <x:sheetData>
    <x:row r="1" ht="36" customHeight="1">
      <x:c r="A1" s="33" t="str">
        <x:v>记录ID</x:v>
      </x:c>
      <x:c r="B1" s="33" t="str">
        <x:v>日期</x:v>
      </x:c>
      <x:c r="C1" s="33" t="str">
        <x:v>开始时间</x:v>
      </x:c>
      <x:c r="D1" s="33" t="str">
        <x:v>训练类型</x:v>
      </x:c>
      <x:c r="E1" s="33" t="str">
        <x:v>时长_min</x:v>
      </x:c>
      <x:c r="F1" s="33" t="str">
        <x:v>距离_km</x:v>
      </x:c>
      <x:c r="G1" s="33" t="str">
        <x:v>热量_kcal</x:v>
      </x:c>
      <x:c r="H1" s="33" t="str">
        <x:v>平均心率_bpm</x:v>
      </x:c>
      <x:c r="I1" s="33" t="str">
        <x:v>最大心率_bpm</x:v>
      </x:c>
      <x:c r="J1" s="33" t="str">
        <x:v>强度/RPE</x:v>
      </x:c>
      <x:c r="K1" s="33" t="str">
        <x:v>训练肌群</x:v>
      </x:c>
      <x:c r="L1" s="33" t="str">
        <x:v>训练来源</x:v>
      </x:c>
      <x:c r="M1" s="33" t="str">
        <x:v>外部ID</x:v>
      </x:c>
      <x:c r="N1" s="33" t="str">
        <x:v>记录方式</x:v>
      </x:c>
      <x:c r="O1" s="33" t="str">
        <x:v>置信度</x:v>
      </x:c>
      <x:c r="P1" s="33" t="str">
        <x:v>原话</x:v>
      </x:c>
      <x:c r="Q1" s="33" t="str">
        <x:v>备注</x:v>
      </x:c>
      <x:c r="R1" s="33" t="str">
        <x:v>导入时间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38" hidden="0" customWidth="1"/>
    <x:col min="36" max="36" width="15" hidden="0" customWidth="1"/>
    <x:col min="37" max="37" width="24" hidden="0" customWidth="1"/>
    <x:col min="38" max="38" width="38" hidden="0" customWidth="1"/>
    <x:col min="39" max="39" width="38" hidden="0" customWidth="1"/>
    <x:col min="40" max="40" width="15" hidden="0" customWidth="1"/>
  </x:cols>
  <x:sheetData>
    <x:row r="1" ht="36" customHeight="1">
      <x:c r="A1" s="33" t="str">
        <x:v>记录ID</x:v>
      </x:c>
      <x:c r="B1" s="33" t="str">
        <x:v>日期</x:v>
      </x:c>
      <x:c r="C1" s="33" t="str">
        <x:v>时间</x:v>
      </x:c>
      <x:c r="D1" s="33" t="str">
        <x:v>餐次</x:v>
      </x:c>
      <x:c r="E1" s="33" t="str">
        <x:v>食物</x:v>
      </x:c>
      <x:c r="F1" s="33" t="str">
        <x:v>食用量估计_g</x:v>
      </x:c>
      <x:c r="G1" s="33" t="str">
        <x:v>食用量下限_g</x:v>
      </x:c>
      <x:c r="H1" s="33" t="str">
        <x:v>食用量上限_g</x:v>
      </x:c>
      <x:c r="I1" s="33" t="str">
        <x:v>热量_kcal</x:v>
      </x:c>
      <x:c r="J1" s="33" t="str">
        <x:v>蛋白质_g</x:v>
      </x:c>
      <x:c r="K1" s="33" t="str">
        <x:v>脂肪_g</x:v>
      </x:c>
      <x:c r="L1" s="33" t="str">
        <x:v>饱和脂肪_g</x:v>
      </x:c>
      <x:c r="M1" s="33" t="str">
        <x:v>碳水_g</x:v>
      </x:c>
      <x:c r="N1" s="33" t="str">
        <x:v>膳食纤维_g</x:v>
      </x:c>
      <x:c r="O1" s="33" t="str">
        <x:v>糖_g</x:v>
      </x:c>
      <x:c r="P1" s="33" t="str">
        <x:v>酒精_g</x:v>
      </x:c>
      <x:c r="Q1" s="33" t="str">
        <x:v>钠_mg</x:v>
      </x:c>
      <x:c r="R1" s="33" t="str">
        <x:v>钾_mg</x:v>
      </x:c>
      <x:c r="S1" s="33" t="str">
        <x:v>钙_mg</x:v>
      </x:c>
      <x:c r="T1" s="33" t="str">
        <x:v>铁_mg</x:v>
      </x:c>
      <x:c r="U1" s="33" t="str">
        <x:v>镁_mg</x:v>
      </x:c>
      <x:c r="V1" s="33" t="str">
        <x:v>磷_mg</x:v>
      </x:c>
      <x:c r="W1" s="33" t="str">
        <x:v>锌_mg</x:v>
      </x:c>
      <x:c r="X1" s="33" t="str">
        <x:v>维生素A_ug_RAE</x:v>
      </x:c>
      <x:c r="Y1" s="33" t="str">
        <x:v>维生素C_mg</x:v>
      </x:c>
      <x:c r="Z1" s="33" t="str">
        <x:v>维生素D_ug</x:v>
      </x:c>
      <x:c r="AA1" s="33" t="str">
        <x:v>维生素E_mg</x:v>
      </x:c>
      <x:c r="AB1" s="33" t="str">
        <x:v>维生素B1_mg</x:v>
      </x:c>
      <x:c r="AC1" s="33" t="str">
        <x:v>维生素B2_mg</x:v>
      </x:c>
      <x:c r="AD1" s="33" t="str">
        <x:v>叶酸_ug_DFE</x:v>
      </x:c>
      <x:c r="AE1" s="33" t="str">
        <x:v>维生素B12_ug</x:v>
      </x:c>
      <x:c r="AF1" s="33" t="str">
        <x:v>胆固醇_mg</x:v>
      </x:c>
      <x:c r="AG1" s="33" t="str">
        <x:v>咖啡因_mg</x:v>
      </x:c>
      <x:c r="AH1" s="33" t="str">
        <x:v>数据来源</x:v>
      </x:c>
      <x:c r="AI1" s="33" t="str">
        <x:v>估算说明</x:v>
      </x:c>
      <x:c r="AJ1" s="33" t="str">
        <x:v>置信度</x:v>
      </x:c>
      <x:c r="AK1" s="33" t="str">
        <x:v>图片引用</x:v>
      </x:c>
      <x:c r="AL1" s="33" t="str">
        <x:v>原话</x:v>
      </x:c>
      <x:c r="AM1" s="33" t="str">
        <x:v>备注</x:v>
      </x:c>
      <x:c r="AN1" s="33" t="str">
        <x:v>录入时间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8" hidden="0" customWidth="1"/>
  </x:cols>
  <x:sheetData>
    <x:row r="1" ht="36" customHeight="1">
      <x:c r="A1" s="33" t="str">
        <x:v>记录ID</x:v>
      </x:c>
      <x:c r="B1" s="33" t="str">
        <x:v>营养素ID</x:v>
      </x:c>
      <x:c r="C1" s="33" t="str">
        <x:v>营养素</x:v>
      </x:c>
      <x:c r="D1" s="33" t="str">
        <x:v>数值</x:v>
      </x:c>
      <x:c r="E1" s="33" t="str">
        <x:v>单位</x:v>
      </x:c>
      <x:c r="F1" s="33" t="str">
        <x:v>数据来源</x:v>
      </x:c>
      <x:c r="G1" s="33" t="str">
        <x:v>每100g或每份</x:v>
      </x:c>
      <x:c r="H1" s="33" t="str">
        <x:v>检索日期</x:v>
      </x:c>
      <x:c r="I1" s="33" t="str">
        <x:v>备注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38" hidden="0" customWidth="1"/>
    <x:col min="18" max="18" width="15" hidden="0" customWidth="1"/>
  </x:cols>
  <x:sheetData>
    <x:row r="1" ht="36" customHeight="1">
      <x:c r="A1" s="33" t="str">
        <x:v>日期</x:v>
      </x:c>
      <x:c r="B1" s="33" t="str">
        <x:v>已记录条目数</x:v>
      </x:c>
      <x:c r="C1" s="33" t="str">
        <x:v>已记录热量_kcal</x:v>
      </x:c>
      <x:c r="D1" s="33" t="str">
        <x:v>蛋白质_g</x:v>
      </x:c>
      <x:c r="E1" s="33" t="str">
        <x:v>脂肪_g</x:v>
      </x:c>
      <x:c r="F1" s="33" t="str">
        <x:v>碳水_g</x:v>
      </x:c>
      <x:c r="G1" s="33" t="str">
        <x:v>膳食纤维_g</x:v>
      </x:c>
      <x:c r="H1" s="33" t="str">
        <x:v>糖_g</x:v>
      </x:c>
      <x:c r="I1" s="33" t="str">
        <x:v>钠_mg</x:v>
      </x:c>
      <x:c r="J1" s="33" t="str">
        <x:v>钾_mg</x:v>
      </x:c>
      <x:c r="K1" s="33" t="str">
        <x:v>钙_mg</x:v>
      </x:c>
      <x:c r="L1" s="33" t="str">
        <x:v>铁_mg</x:v>
      </x:c>
      <x:c r="M1" s="33" t="str">
        <x:v>镁_mg</x:v>
      </x:c>
      <x:c r="N1" s="33" t="str">
        <x:v>估算TEF下限_kcal</x:v>
      </x:c>
      <x:c r="O1" s="33" t="str">
        <x:v>估算TEF中值_kcal</x:v>
      </x:c>
      <x:c r="P1" s="33" t="str">
        <x:v>估算TEF上限_kcal</x:v>
      </x:c>
      <x:c r="Q1" s="33" t="str">
        <x:v>记录覆盖说明</x:v>
      </x:c>
      <x:c r="R1" s="33" t="str">
        <x:v>更新时间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8" hidden="0" customWidth="1"/>
    <x:col min="7" max="7" width="15" hidden="0" customWidth="1"/>
  </x:cols>
  <x:sheetData>
    <x:row r="1" ht="36" customHeight="1">
      <x:c r="A1" s="33" t="str">
        <x:v>目标ID</x:v>
      </x:c>
      <x:c r="B1" s="33" t="str">
        <x:v>生效日期</x:v>
      </x:c>
      <x:c r="C1" s="33" t="str">
        <x:v>状态</x:v>
      </x:c>
      <x:c r="D1" s="33" t="str">
        <x:v>优先级</x:v>
      </x:c>
      <x:c r="E1" s="33" t="str">
        <x:v>用户原话</x:v>
      </x:c>
      <x:c r="F1" s="33" t="str">
        <x:v>安全约束</x:v>
      </x:c>
      <x:c r="G1" s="33" t="str">
        <x:v>记录时间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8" hidden="0" customWidth="1"/>
  </x:cols>
  <x:sheetData>
    <x:row r="1" ht="36" customHeight="1">
      <x:c r="A1" s="33" t="str">
        <x:v>批次ID</x:v>
      </x:c>
      <x:c r="B1" s="33" t="str">
        <x:v>运行时间</x:v>
      </x:c>
      <x:c r="C1" s="33" t="str">
        <x:v>查询起始日期</x:v>
      </x:c>
      <x:c r="D1" s="33" t="str">
        <x:v>查询结束日期</x:v>
      </x:c>
      <x:c r="E1" s="33" t="str">
        <x:v>日报记录数</x:v>
      </x:c>
      <x:c r="F1" s="33" t="str">
        <x:v>训练记录数</x:v>
      </x:c>
      <x:c r="G1" s="33" t="str">
        <x:v>测量记录数</x:v>
      </x:c>
      <x:c r="H1" s="33" t="str">
        <x:v>状态</x:v>
      </x:c>
      <x:c r="I1" s="33" t="str">
        <x:v>数据截止时间</x:v>
      </x:c>
      <x:c r="J1" s="33" t="str">
        <x:v>错误摘要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0" hidden="0" customWidth="1"/>
  </x:cols>
  <x:sheetData>
    <x:row r="1" ht="36" customHeight="1">
      <x:c r="A1" s="33" t="str">
        <x:v>项目</x:v>
      </x:c>
      <x:c r="B1" s="33" t="str">
        <x:v>说明</x:v>
      </x:c>
    </x:row>
    <x:row r="2" ht="34" customHeight="1">
      <x:c r="A2" s="35" t="str">
        <x:v>数据真源</x:v>
      </x:c>
      <x:c r="B2" s="16" t="str">
        <x:v>本地 SQLite 用于幂等写入与审计；Excel 是用户持有的可读导出视图。受管工作表会重建，自定义内容只放独立工作表。</x:v>
      </x:c>
    </x:row>
    <x:row r="3" ht="34" customHeight="1">
      <x:c r="A3" s="35" t="str">
        <x:v>缺失值</x:v>
      </x:c>
      <x:c r="B3" s="16" t="str">
        <x:v>空白表示没有可验证数据；未授权、未佩戴或同步失败绝不写成 0。</x:v>
      </x:c>
    </x:row>
    <x:row r="4" ht="34" customHeight="1">
      <x:c r="A4" s="35" t="str">
        <x:v>设备兼容</x:v>
      </x:c>
      <x:c r="B4" s="16" t="str">
        <x:v>设备能进入 Google Health 数据链路，不代表 HRV、睡眠阶段、血氧或 VO2max 等每项指标都会提供。</x:v>
      </x:c>
    </x:row>
    <x:row r="5" ht="34" customHeight="1">
      <x:c r="A5" s="35" t="str">
        <x:v>食物照片</x:v>
      </x:c>
      <x:c r="B5" s="16" t="str">
        <x:v>视觉识别与份量均为估算；保留区间、来源、置信度与用户纠正。</x:v>
      </x:c>
    </x:row>
    <x:row r="6" ht="34" customHeight="1">
      <x:c r="A6" s="35" t="str">
        <x:v>微量营养</x:v>
      </x:c>
      <x:c r="B6" s="16" t="str">
        <x:v>汇总仅代表有值的已记录条目；不能据一餐或一张照片诊断营养缺乏。</x:v>
      </x:c>
    </x:row>
    <x:row r="7" ht="34" customHeight="1">
      <x:c r="A7" s="35" t="str">
        <x:v>睡眠</x:v>
      </x:c>
      <x:c r="B7" s="16" t="str">
        <x:v>按结束日期归档；实际睡眠时长为 asleep、不含清醒分钟；同一时段的多来源睡眠不会相加。</x:v>
      </x:c>
    </x:row>
    <x:row r="8" ht="34" customHeight="1">
      <x:c r="A8" s="35" t="str">
        <x:v>当天</x:v>
      </x:c>
      <x:c r="B8" s="16" t="str">
        <x:v>当天活动、饮食和恢复数据在日结束前都不完整。</x:v>
      </x:c>
    </x:row>
    <x:row r="9" ht="34" customHeight="1">
      <x:c r="A9" s="35" t="str">
        <x:v>安全</x:v>
      </x:c>
      <x:c r="B9" s="16" t="str">
        <x:v>本项目不是诊断、处方、医疗器械或急救监测服务。</x:v>
      </x:c>
    </x:row>
  </x:sheetData>
  <x:pageMargins left="0.7" right="0.7" top="0.75" bottom="0.75" header="0.3" footer="0.3"/>
</x:worksheet>
</file>